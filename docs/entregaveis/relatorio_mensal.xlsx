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o visual" sheetId="1" r:id="rId1"/>
    <sheet name="Resumo executivo" sheetId="2" r:id="rId2"/>
    <sheet name="Andar 1 - Correção de cadastro" sheetId="3" r:id="rId3"/>
    <sheet name="Andar 2 - Refinamento do modelo" sheetId="4" r:id="rId4"/>
    <sheet name="Itens sangrando margem" sheetId="5" r:id="rId5"/>
    <sheet name="Taxa de aceitação" sheetId="6" r:id="rId6"/>
    <sheet name="Premissas" sheetId="7" r:id="rId7"/>
    <sheet name="Limitações" sheetId="8" r:id="rId8"/>
  </sheets>
  <definedNames>
    <definedName name="_xlnm._FilterDatabase" localSheetId="4" hidden="1">'Itens sangrando margem'!$A$2:$J$22</definedName>
  </definedNames>
  <calcPr calcId="124519" fullCalcOnLoad="1"/>
</workbook>
</file>

<file path=xl/sharedStrings.xml><?xml version="1.0" encoding="utf-8"?>
<sst xmlns="http://schemas.openxmlformats.org/spreadsheetml/2006/main" count="209" uniqueCount="169">
  <si>
    <t>RELATÓRIO MENSAL -- RESUMO</t>
  </si>
  <si>
    <t>Backtest de 277 dias sobre o dado do Favorita, célula lead time 7 / revisão 14. Só números relativos; R$ nas outras abas é ilustrativo (preço uniforme de R$ 10, margem arbitrada).</t>
  </si>
  <si>
    <t>NÍVEL DE SERVIÇO</t>
  </si>
  <si>
    <t>60% → 95%</t>
  </si>
  <si>
    <t>De cada 100 unidades que o cliente quis comprar, 60 eram atendidas com o cadastro desatualizado e 95 depois de recalibrar (Andar 1).</t>
  </si>
  <si>
    <t>Andar 2: motor 94,8% contra 94,9% do baseline recalibrado -- mesmo serviço, por construção (iso-serviço).</t>
  </si>
  <si>
    <t>Fonte: results/baseline_desatualizado (calibrado_lt3_rp7), results/sensibilidade_dirigida/lt7_rp14 e results/iso_servico (alpha 0,66).</t>
  </si>
  <si>
    <t>CAPITAL PARADO</t>
  </si>
  <si>
    <t>Capital médio empregado para sair de 60% para 95% de serviço (Andar 1): servir mais exige estocar mais, não menos.</t>
  </si>
  <si>
    <t>Andar 2: −2,8% no mesmo serviço (motor contra o baseline recalibrado).</t>
  </si>
  <si>
    <t>Fonte: capital_medio_rs de results/baseline_desatualizado, results/sensibilidade_dirigida/lt7_rp14 e results/iso_servico.</t>
  </si>
  <si>
    <t>MARGEM POR REAL INVESTIDO</t>
  </si>
  <si>
    <t>Andar 2: motor contra o baseline já recalibrado, no mesmo nível de serviço. É o ganho do modelo; o Andar 1 (recalibrar o cadastro) é a parte maior da conta.</t>
  </si>
  <si>
    <t>Fonte: decision_metric de results/iso_servico e results/sensibilidade_dirigida/lt7_rp14.</t>
  </si>
  <si>
    <t>Dados dos gráficos</t>
  </si>
  <si>
    <t>cenário</t>
  </si>
  <si>
    <t>nível de serviço</t>
  </si>
  <si>
    <t>capital (índice)</t>
  </si>
  <si>
    <t>ERP desatualizado</t>
  </si>
  <si>
    <t>ERP recalibrado</t>
  </si>
  <si>
    <t>Motor (braço 2)</t>
  </si>
  <si>
    <t>Capital: índice 100 = baseline recalibrado. Perda evitada e taxa de aceitação não são medidas -- ver aba Limitações.</t>
  </si>
  <si>
    <t>RELATÓRIO MENSAL EM R$ -- MOTOR DE DECISÃO DE COMPRA</t>
  </si>
  <si>
    <t>Período simulado avaliado: 2016-11-12 a 2017-08-15 (277 dias -- equivalente a 9.23 meses de 30 dias). Braço 2 (estatístico + nível-alvo), alpha=0.66 (iso-serviço). Célula lead_time=7/review_period=14 -- ver aba Premissas.</t>
  </si>
  <si>
    <t>Indicadores relativos primeiro. Valores em R$: ilustrativo -- preço uniforme de R$ 10, margem arbitrada.</t>
  </si>
  <si>
    <t>ANDAR 1 -- CORREÇÃO DE CADASTRO (recalibrar, sem modelo)</t>
  </si>
  <si>
    <t>Nível de serviço: de (calibrado_lt3_rp7)</t>
  </si>
  <si>
    <t xml:space="preserve">  para (baseline recalibrado)</t>
  </si>
  <si>
    <t>Ruptura (R$) eliminada -- % da ruptura do baseline desatualizado</t>
  </si>
  <si>
    <t>Custo: variação de capital médio empregado (recalibrar exige mais estoque, não libera; ver aba Andar 1)</t>
  </si>
  <si>
    <t>Em R$ por mês -- ilustrativo -- preço uniforme de R$ 10, margem arbitrada</t>
  </si>
  <si>
    <t xml:space="preserve">  ruptura evitada (margem recuperada), magnitude calibrado_lt3_rp7</t>
  </si>
  <si>
    <t xml:space="preserve">  faixa de sensibilidade de margem (±30%) -- ver aba Andar 1</t>
  </si>
  <si>
    <t>132,973.38 a 246,950.57</t>
  </si>
  <si>
    <t xml:space="preserve">  aumento de capital empregado</t>
  </si>
  <si>
    <t>ANDAR 2 -- REFINAMENTO DO MODELO (sobre baseline já certo)</t>
  </si>
  <si>
    <t>Capital médio empregado -- variação vs. baseline recalibrado (negativo = libera)</t>
  </si>
  <si>
    <t>Margem por real investido -- variação vs. baseline recalibrado</t>
  </si>
  <si>
    <t>decision_metric: baseline recalibrado</t>
  </si>
  <si>
    <t xml:space="preserve">  motor</t>
  </si>
  <si>
    <t xml:space="preserve">  capital liberado (equivalente, ver nota)</t>
  </si>
  <si>
    <t xml:space="preserve">  margem recuperada adicional pelo modelo (pequena de propósito: mesmo nível de serviço do baseline recalibrado, por construção iso-serviço)</t>
  </si>
  <si>
    <t>Perda evitada (validade/expiração) -- os 2 andares</t>
  </si>
  <si>
    <t>R$ 0,00 -- ver aba Limitações</t>
  </si>
  <si>
    <t>Taxa de aceitação das sugestões</t>
  </si>
  <si>
    <t>n/d -- ver aba Taxa de aceitação</t>
  </si>
  <si>
    <t>O andar 1 abre a conta (não precisa de modelo); o andar 2 e a operação semanal da lista de compra são o que a mantêm -- ver Sprint 18.</t>
  </si>
  <si>
    <t>Valores em R$: ilustrativo -- preço uniforme de R$ 10, margem arbitrada.</t>
  </si>
  <si>
    <t>indicador</t>
  </si>
  <si>
    <t>desatualizado (calibrado_lt3_rp7)</t>
  </si>
  <si>
    <t>desatualizado (calibrado_lt5_rp7)</t>
  </si>
  <si>
    <t>recalibrado</t>
  </si>
  <si>
    <t>ruptura_rs (total do período)</t>
  </si>
  <si>
    <t>capital_medio_rs</t>
  </si>
  <si>
    <t>decision_metric</t>
  </si>
  <si>
    <t>RUPTURA EVITADA (total do período, margem recuperada)</t>
  </si>
  <si>
    <t xml:space="preserve">  vs. calibrado_lt3_rp7</t>
  </si>
  <si>
    <t xml:space="preserve">  vs. calibrado_lt5_rp7</t>
  </si>
  <si>
    <t>AUMENTO DE CAPITAL EMPREGADO (total do período, NÃO é capital liberado)</t>
  </si>
  <si>
    <t>Recalibrar EXIGE mais capital empregado, não libera -- é o espelho do resgate de serviço (sair de ~60-66% para ~94,85% de serviço significa guardar mais estoque, não menos). 'Capital liberado' só acontece no Andar 2, sobre o baseline já recalibrado (ver aba Andar 2).</t>
  </si>
  <si>
    <t>SENSIBILIDADE DE MARGEM (±30%) -- magnitude calibrado_lt3_rp7</t>
  </si>
  <si>
    <t xml:space="preserve">  margem -30% (fator 0.7)</t>
  </si>
  <si>
    <t xml:space="preserve">  margem medida (fator 1.0)</t>
  </si>
  <si>
    <t xml:space="preserve">  margem +30% (fator 1.3)</t>
  </si>
  <si>
    <t>Faixa por transparência: category_margin_pct é premissa arbitrada (analogia com varejo brasileiro, ver aba Premissas), não medida no cliente. A ruptura evitada escala linearmente com margem -- ver docstring do módulo para a prova. Capital liberado NÃO tem faixa de sensibilidade de margem (não escala linearmente).</t>
  </si>
  <si>
    <t>baseline recalibrado</t>
  </si>
  <si>
    <t>motor</t>
  </si>
  <si>
    <t>margem_realizada_rs (total do período)</t>
  </si>
  <si>
    <t>Capital liberado (total do período)</t>
  </si>
  <si>
    <t>Capital liberado (%)</t>
  </si>
  <si>
    <t>decision_metric (%)</t>
  </si>
  <si>
    <t>O ganho do modelo aqui é quase todo em capital liberado, não em margem recuperada: motor e baseline recalibrado operam no MESMO nível de serviço por construção iso-serviço (Sprint 17) -- a diferença de margem realizada entre os dois (R$ 67.90 no período) é resíduo de granularidade da grade de alpha, não um efeito de negócio a vender separadamente.</t>
  </si>
  <si>
    <t>código</t>
  </si>
  <si>
    <t>categoria</t>
  </si>
  <si>
    <t>unidade de venda</t>
  </si>
  <si>
    <t>preço (R$)</t>
  </si>
  <si>
    <t>custo (R$)</t>
  </si>
  <si>
    <t>margem (%)</t>
  </si>
  <si>
    <t>margem realizada (R$)</t>
  </si>
  <si>
    <t>ruptura (R$)</t>
  </si>
  <si>
    <t>% da margem potencial perdida</t>
  </si>
  <si>
    <t>nível de serviço do item</t>
  </si>
  <si>
    <t>870545</t>
  </si>
  <si>
    <t>PERSONAL CARE</t>
  </si>
  <si>
    <t>unidade</t>
  </si>
  <si>
    <t>208384</t>
  </si>
  <si>
    <t>EGGS</t>
  </si>
  <si>
    <t>1047679</t>
  </si>
  <si>
    <t>BEVERAGES</t>
  </si>
  <si>
    <t>852620</t>
  </si>
  <si>
    <t>CLEANING</t>
  </si>
  <si>
    <t>1157329</t>
  </si>
  <si>
    <t>GROCERY I</t>
  </si>
  <si>
    <t>1463820</t>
  </si>
  <si>
    <t>1457003</t>
  </si>
  <si>
    <t>HOME CARE</t>
  </si>
  <si>
    <t>664543</t>
  </si>
  <si>
    <t>769314</t>
  </si>
  <si>
    <t>507478</t>
  </si>
  <si>
    <t>1457179</t>
  </si>
  <si>
    <t>1146496</t>
  </si>
  <si>
    <t>FROZEN FOODS</t>
  </si>
  <si>
    <t>1463797</t>
  </si>
  <si>
    <t>1473479</t>
  </si>
  <si>
    <t>PRODUCE</t>
  </si>
  <si>
    <t>kg</t>
  </si>
  <si>
    <t>409738</t>
  </si>
  <si>
    <t>BREAD/BAKERY</t>
  </si>
  <si>
    <t>1457328</t>
  </si>
  <si>
    <t>1457182</t>
  </si>
  <si>
    <t>1313223</t>
  </si>
  <si>
    <t>1003679</t>
  </si>
  <si>
    <t>1239859</t>
  </si>
  <si>
    <t>POULTRY</t>
  </si>
  <si>
    <t>Top 20 itens por ruptura_rs ABSOLUTA sob o motor (braço 2, alpha iso-serviço) -- os que ainda sangram margem mesmo com a ferramenta ativa, candidatos a revisão manual/escalonamento com o fornecedor. '% da margem potencial perdida' = ruptura / (ruptura + margem realizada), por item.</t>
  </si>
  <si>
    <t>TAXA DE ACEITAÇÃO DAS SUGESTÕES</t>
  </si>
  <si>
    <t>n/d nesta etapa -- esta métrica NÃO EXISTE sem um comprador humano decidindo, ciclo a ciclo, se aceita, ajusta ou ignora a sugestão do motor. O período simulado usado neste relatório não tem esse comprador: é um backtest onde a política decide sozinha, sem intervenção.</t>
  </si>
  <si>
    <t>O que ela vai medir, quando existir: por ciclo de decisão, a fração do valor (R$) sugerido pelo motor que o comprador mantém sem alteração -- a métrica nasce no MODO SOMBRA (o motor sugere, o comprador decide de verdade, as duas listas ficam registradas lado a lado) e não antes disso.</t>
  </si>
  <si>
    <t>premissa</t>
  </si>
  <si>
    <t>valor</t>
  </si>
  <si>
    <t>origem/justificativa</t>
  </si>
  <si>
    <t>lead_time_days (célula)</t>
  </si>
  <si>
    <t>7</t>
  </si>
  <si>
    <t>arbitrado -- célula real de hoje, Sprint 16.5/17</t>
  </si>
  <si>
    <t>review_period_days (célula)</t>
  </si>
  <si>
    <t>14</t>
  </si>
  <si>
    <t>capital_cost_annual</t>
  </si>
  <si>
    <t>arbitrado por analogia, varejo pequeno/médio no Brasil (config/params.yaml)</t>
  </si>
  <si>
    <t>uniform_unit_price (R$)</t>
  </si>
  <si>
    <t>Favorita não tem preço em nenhuma linha do bruto -- preço único aplicado a todo item; prova em motor.metrics.financial de que a escala não afeta decision_metric</t>
  </si>
  <si>
    <t>sensibilidade de margem</t>
  </si>
  <si>
    <t>±30% (0,7x / 1,3x)</t>
  </si>
  <si>
    <t>arbitrada -- magnitude de erro de premissa que este relatório declara suportar, não uma faixa medida</t>
  </si>
  <si>
    <t>conversão para mensal</t>
  </si>
  <si>
    <t>30 dias</t>
  </si>
  <si>
    <t>mês de 30 dias -- não existe mês-calendário real de produção nesta etapa</t>
  </si>
  <si>
    <t>validade/shelf life</t>
  </si>
  <si>
    <t>não modelada</t>
  </si>
  <si>
    <t>shelf_life_from_arrival_days=None para todo item em todo braço -- perda_rs estruturalmente R$ 0,00, ver aba Limitações</t>
  </si>
  <si>
    <t>guardrails/orçamento (Sprint 13)</t>
  </si>
  <si>
    <t>fora de escopo deste relatório</t>
  </si>
  <si>
    <t>as 4 regras de guarda e a restrição de caixa mudam a lista de compra semanal (results/lista_compra/), não a simulação de portfólio usada aqui</t>
  </si>
  <si>
    <t>category_margin_pct (por categoria)</t>
  </si>
  <si>
    <t xml:space="preserve">  BEVERAGES</t>
  </si>
  <si>
    <t xml:space="preserve">  BREAD/BAKERY</t>
  </si>
  <si>
    <t xml:space="preserve">  CLEANING</t>
  </si>
  <si>
    <t xml:space="preserve">  DAIRY</t>
  </si>
  <si>
    <t xml:space="preserve">  DELI</t>
  </si>
  <si>
    <t xml:space="preserve">  EGGS</t>
  </si>
  <si>
    <t xml:space="preserve">  FROZEN FOODS</t>
  </si>
  <si>
    <t xml:space="preserve">  GROCERY I</t>
  </si>
  <si>
    <t xml:space="preserve">  GROCERY II</t>
  </si>
  <si>
    <t xml:space="preserve">  HOME CARE</t>
  </si>
  <si>
    <t xml:space="preserve">  MEATS</t>
  </si>
  <si>
    <t xml:space="preserve">  PERSONAL CARE</t>
  </si>
  <si>
    <t xml:space="preserve">  POULTRY</t>
  </si>
  <si>
    <t xml:space="preserve">  PRODUCE</t>
  </si>
  <si>
    <t xml:space="preserve">  SEAFOOD</t>
  </si>
  <si>
    <t xml:space="preserve">  (categoria fora da lista acima)</t>
  </si>
  <si>
    <t>default_margin_pct -- piso quando a categoria não está mapeada</t>
  </si>
  <si>
    <t>LIMITAÇÕES DECLARADAS</t>
  </si>
  <si>
    <t>Ruptura (demanda não atendida) NÃO é observada -- é inferida pelo simulador comparando a demanda prevista (forecaster) contra o estoque simulado, nunca contra saldo de estoque real de loja (o dado público Favorita não tem essa coluna). Todo R$ de ruptura neste relatório é simulado, não medido em produção.</t>
  </si>
  <si>
    <t>NÃO existe hoje nenhuma correção de demanda censurada implementada no motor -- correção deste ponto: o texto original desta etapa dizia 'está projetada'; o código (`motor.features.build.build_feature_row`) documenta explicitamente que está FORA DE ESCOPO enquanto não houver saldo de estoque real de cliente (dias de saldo zero teriam demanda subestimada, se o dado tivesse estoque). O que existe é a premissa declarada (venda observada = demanda), CLAUDE.md seção 8 -- não uma feature construída à espera de validação.</t>
  </si>
  <si>
    <t>Perda evitada é R$ 0,00 nos dois andares, sempre -- não é resultado, é ausência de premissa: nenhum braço modela validade/expiração (shelf_life_from_arrival_days=None para todo item, todo braço). Um cliente real com produto perecível físico teria perda por vencimento que este relatório não captura.</t>
  </si>
  <si>
    <t>Taxa de aceitação das sugestões não existe sem comprador humano -- ver aba dedicada. Métrica que só nasce no modo sombra.</t>
  </si>
  <si>
    <t>'Mensal' aqui é o total do período simulado dividido por uma média de 30 dias -- não um mês-calendário real medido em produção. Ver aba Premissas.</t>
  </si>
  <si>
    <t>As 4 regras de guarda (Sprint 13) e a restrição de caixa por orçamento NÃO entram nestas métricas -- elas mudam a lista de compra semanal, não a simulação de portfólio usada aqui. Quantificar o custo do seguro das guardas sobre decision_metric/capital é um experimento declarado à parte, ainda não feito.</t>
  </si>
  <si>
    <t>Validade restrita a UMA célula (lead_time=7, review_period=14) -- generalizar para outras combinações é hipótese, não resultado (Sprint 17).</t>
  </si>
  <si>
    <t>A sensibilidade de margem (±30%) cobre só ruptura evitada/margem recuperada -- capital_medio_rs não escala linearmente com margin_pct (direção oposta: cost = price x (1 - margin_pct)) e não tem faixa de sensibilidade calculada nesta etapa.</t>
  </si>
</sst>
</file>

<file path=xl/styles.xml><?xml version="1.0" encoding="utf-8"?>
<styleSheet xmlns="http://schemas.openxmlformats.org/spreadsheetml/2006/main">
  <numFmts count="5">
    <numFmt numFmtId="164" formatCode="+0%;-0%"/>
    <numFmt numFmtId="165" formatCode="+0.0%;-0.0%"/>
    <numFmt numFmtId="166" formatCode="0.0%"/>
    <numFmt numFmtId="167" formatCode="#,##0.00"/>
    <numFmt numFmtId="168" formatCode="R$ #,##0.00"/>
  </numFmts>
  <fonts count="8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6B6B6B"/>
      <name val="Calibri"/>
      <family val="2"/>
      <scheme val="minor"/>
    </font>
    <font>
      <b/>
      <sz val="32"/>
      <color rgb="FF0B0B0B"/>
      <name val="Calibri"/>
      <family val="2"/>
      <scheme val="minor"/>
    </font>
    <font>
      <i/>
      <sz val="8"/>
      <color rgb="FF6B6B6B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/>
    </xf>
    <xf numFmtId="165" fontId="4" fillId="0" borderId="0" xfId="0" applyNumberFormat="1" applyFont="1" applyAlignment="1">
      <alignment horizontal="left"/>
    </xf>
    <xf numFmtId="0" fontId="6" fillId="0" borderId="0" xfId="0" applyFont="1"/>
    <xf numFmtId="0" fontId="7" fillId="2" borderId="1" xfId="0" applyFont="1" applyFill="1" applyBorder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vertical="top" wrapText="1"/>
    </xf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Nível de serviço (%)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Nível de serviço (%)</c:v>
          </c:tx>
          <c:dPt>
            <c:idx val="0"/>
            <c:spPr>
              <a:solidFill>
                <a:srgbClr val="EB6834"/>
              </a:solidFill>
            </c:spPr>
          </c:dPt>
          <c:dPt>
            <c:idx val="1"/>
            <c:spPr>
              <a:solidFill>
                <a:srgbClr val="2A78D6"/>
              </a:solidFill>
            </c:spPr>
          </c:dPt>
          <c:dPt>
            <c:idx val="2"/>
            <c:spPr>
              <a:solidFill>
                <a:srgbClr val="1BAF7A"/>
              </a:solidFill>
            </c:spPr>
          </c:dPt>
          <c:dLbls>
            <c:numFmt formatCode="0%" sourceLinked="0"/>
            <c:showVal val="1"/>
          </c:dLbls>
          <c:cat>
            <c:strRef>
              <c:f>'Resumo visual'!$A$44:$A$46</c:f>
              <c:strCache>
                <c:ptCount val="3"/>
                <c:pt idx="0">
                  <c:v>ERP desatualizado</c:v>
                </c:pt>
                <c:pt idx="1">
                  <c:v>ERP recalibrado</c:v>
                </c:pt>
                <c:pt idx="2">
                  <c:v>Motor (braço 2)</c:v>
                </c:pt>
              </c:strCache>
            </c:strRef>
          </c:cat>
          <c:val>
            <c:numRef>
              <c:f>'Resumo visual'!$B$44:$B$46</c:f>
              <c:numCache>
                <c:formatCode>General</c:formatCode>
                <c:ptCount val="3"/>
                <c:pt idx="0">
                  <c:v>0.59985842</c:v>
                </c:pt>
                <c:pt idx="1">
                  <c:v>0.9485436</c:v>
                </c:pt>
                <c:pt idx="2">
                  <c:v>0.9483648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.0"/>
          <c:min val="0"/>
        </c:scaling>
        <c:axPos val="l"/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Capital médio empregado (índice, 100 = baseline recalibrado)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Capital médio empregado (índice, 100 = baseline recalibrado)</c:v>
          </c:tx>
          <c:dPt>
            <c:idx val="0"/>
            <c:spPr>
              <a:solidFill>
                <a:srgbClr val="EB6834"/>
              </a:solidFill>
            </c:spPr>
          </c:dPt>
          <c:dPt>
            <c:idx val="1"/>
            <c:spPr>
              <a:solidFill>
                <a:srgbClr val="2A78D6"/>
              </a:solidFill>
            </c:spPr>
          </c:dPt>
          <c:dPt>
            <c:idx val="2"/>
            <c:spPr>
              <a:solidFill>
                <a:srgbClr val="1BAF7A"/>
              </a:solidFill>
            </c:spPr>
          </c:dPt>
          <c:dLbls>
            <c:numFmt formatCode="0" sourceLinked="0"/>
            <c:showVal val="1"/>
          </c:dLbls>
          <c:cat>
            <c:strRef>
              <c:f>'Resumo visual'!$A$44:$A$46</c:f>
              <c:strCache>
                <c:ptCount val="3"/>
                <c:pt idx="0">
                  <c:v>ERP desatualizado</c:v>
                </c:pt>
                <c:pt idx="1">
                  <c:v>ERP recalibrado</c:v>
                </c:pt>
                <c:pt idx="2">
                  <c:v>Motor (braço 2)</c:v>
                </c:pt>
              </c:strCache>
            </c:strRef>
          </c:cat>
          <c:val>
            <c:numRef>
              <c:f>'Resumo visual'!$C$44:$C$46</c:f>
              <c:numCache>
                <c:formatCode>General</c:formatCode>
                <c:ptCount val="3"/>
                <c:pt idx="0">
                  <c:v>26.04199602707883</c:v>
                </c:pt>
                <c:pt idx="1">
                  <c:v>100</c:v>
                </c:pt>
                <c:pt idx="2">
                  <c:v>97.19822375461059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20"/>
          <c:min val="0"/>
        </c:scaling>
        <c:axPos val="l"/>
        <c:numFmt formatCode="0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1</xdr:col>
      <xdr:colOff>123825</xdr:colOff>
      <xdr:row>29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1</xdr:col>
      <xdr:colOff>123825</xdr:colOff>
      <xdr:row>39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47"/>
  <sheetViews>
    <sheetView tabSelected="1" workbookViewId="0"/>
  </sheetViews>
  <sheetFormatPr defaultRowHeight="15"/>
  <cols>
    <col min="1" max="1" width="46.7109375" customWidth="1"/>
    <col min="2" max="3" width="16.7109375" customWidth="1"/>
  </cols>
  <sheetData>
    <row r="1" spans="1:1">
      <c r="A1" s="1" t="s">
        <v>0</v>
      </c>
    </row>
    <row r="2" spans="1:1" ht="44" customHeight="1">
      <c r="A2" s="2" t="s">
        <v>1</v>
      </c>
    </row>
    <row r="4" spans="1:1">
      <c r="A4" s="3" t="s">
        <v>2</v>
      </c>
    </row>
    <row r="5" spans="1:1" ht="46" customHeight="1">
      <c r="A5" s="4" t="s">
        <v>3</v>
      </c>
    </row>
    <row r="6" spans="1:1" ht="32" customHeight="1">
      <c r="A6" s="2" t="s">
        <v>4</v>
      </c>
    </row>
    <row r="7" spans="1:1" ht="32" customHeight="1">
      <c r="A7" s="2" t="s">
        <v>5</v>
      </c>
    </row>
    <row r="8" spans="1:1" ht="30" customHeight="1">
      <c r="A8" s="5" t="s">
        <v>6</v>
      </c>
    </row>
    <row r="10" spans="1:1">
      <c r="A10" s="3" t="s">
        <v>7</v>
      </c>
    </row>
    <row r="11" spans="1:1" ht="46" customHeight="1">
      <c r="A11" s="6">
        <v>2.839951434445293</v>
      </c>
    </row>
    <row r="12" spans="1:1" ht="32" customHeight="1">
      <c r="A12" s="2" t="s">
        <v>8</v>
      </c>
    </row>
    <row r="13" spans="1:1" ht="32" customHeight="1">
      <c r="A13" s="2" t="s">
        <v>9</v>
      </c>
    </row>
    <row r="14" spans="1:1" ht="30" customHeight="1">
      <c r="A14" s="5" t="s">
        <v>10</v>
      </c>
    </row>
    <row r="16" spans="1:1">
      <c r="A16" s="3" t="s">
        <v>11</v>
      </c>
    </row>
    <row r="17" spans="1:1" ht="46" customHeight="1">
      <c r="A17" s="7">
        <v>0.02884004300313014</v>
      </c>
    </row>
    <row r="18" spans="1:1" ht="32" customHeight="1">
      <c r="A18" s="2" t="s">
        <v>12</v>
      </c>
    </row>
    <row r="19" spans="1:1" ht="30" customHeight="1">
      <c r="A19" s="5" t="s">
        <v>13</v>
      </c>
    </row>
    <row r="42" spans="1:3">
      <c r="A42" s="8" t="s">
        <v>14</v>
      </c>
    </row>
    <row r="43" spans="1:3">
      <c r="A43" s="9" t="s">
        <v>15</v>
      </c>
      <c r="B43" s="9" t="s">
        <v>16</v>
      </c>
      <c r="C43" s="9" t="s">
        <v>17</v>
      </c>
    </row>
    <row r="44" spans="1:3">
      <c r="A44" t="s">
        <v>18</v>
      </c>
      <c r="B44" s="10">
        <v>0.59985842</v>
      </c>
      <c r="C44" s="11">
        <v>26.04199602707883</v>
      </c>
    </row>
    <row r="45" spans="1:3">
      <c r="A45" t="s">
        <v>19</v>
      </c>
      <c r="B45" s="10">
        <v>0.9485436</v>
      </c>
      <c r="C45" s="11">
        <v>100</v>
      </c>
    </row>
    <row r="46" spans="1:3">
      <c r="A46" t="s">
        <v>20</v>
      </c>
      <c r="B46" s="10">
        <v>0.9483648</v>
      </c>
      <c r="C46" s="11">
        <v>97.19822375461059</v>
      </c>
    </row>
    <row r="47" spans="1:3" ht="30" customHeight="1">
      <c r="A47" s="5" t="s">
        <v>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7"/>
  <sheetViews>
    <sheetView workbookViewId="0"/>
  </sheetViews>
  <sheetFormatPr defaultRowHeight="15"/>
  <cols>
    <col min="1" max="1" width="46.7109375" customWidth="1"/>
    <col min="2" max="2" width="20.7109375" customWidth="1"/>
  </cols>
  <sheetData>
    <row r="1" spans="1:2">
      <c r="A1" s="8" t="s">
        <v>22</v>
      </c>
    </row>
    <row r="2" spans="1:2" ht="30" customHeight="1">
      <c r="A2" t="s">
        <v>23</v>
      </c>
    </row>
    <row r="3" spans="1:2" ht="30" customHeight="1">
      <c r="A3" s="12" t="s">
        <v>24</v>
      </c>
    </row>
    <row r="5" spans="1:2">
      <c r="A5" s="9" t="s">
        <v>25</v>
      </c>
      <c r="B5" s="9"/>
    </row>
    <row r="6" spans="1:2">
      <c r="A6" t="s">
        <v>26</v>
      </c>
      <c r="B6" s="10">
        <v>0.59985842</v>
      </c>
    </row>
    <row r="7" spans="1:2">
      <c r="A7" t="s">
        <v>27</v>
      </c>
      <c r="B7" s="10">
        <v>0.9485436</v>
      </c>
    </row>
    <row r="8" spans="1:2">
      <c r="A8" t="s">
        <v>28</v>
      </c>
      <c r="B8" s="10">
        <v>0.8687172826292039</v>
      </c>
    </row>
    <row r="9" spans="1:2">
      <c r="A9" t="s">
        <v>29</v>
      </c>
      <c r="B9" s="10">
        <v>2.839951434445293</v>
      </c>
    </row>
    <row r="10" spans="1:2" ht="30" customHeight="1">
      <c r="A10" s="12" t="s">
        <v>30</v>
      </c>
    </row>
    <row r="11" spans="1:2">
      <c r="A11" t="s">
        <v>31</v>
      </c>
      <c r="B11" s="13">
        <v>189961.9763693946</v>
      </c>
    </row>
    <row r="12" spans="1:2">
      <c r="A12" t="s">
        <v>32</v>
      </c>
      <c r="B12" t="s">
        <v>33</v>
      </c>
    </row>
    <row r="13" spans="1:2">
      <c r="A13" t="s">
        <v>34</v>
      </c>
      <c r="B13" s="13">
        <v>53860.70717579459</v>
      </c>
    </row>
    <row r="15" spans="1:2">
      <c r="A15" s="9" t="s">
        <v>35</v>
      </c>
      <c r="B15" s="9"/>
    </row>
    <row r="16" spans="1:2">
      <c r="A16" t="s">
        <v>36</v>
      </c>
      <c r="B16" s="10">
        <v>-0.02801776245389405</v>
      </c>
    </row>
    <row r="17" spans="1:2">
      <c r="A17" t="s">
        <v>37</v>
      </c>
      <c r="B17" s="10">
        <v>0.02884004300313014</v>
      </c>
    </row>
    <row r="18" spans="1:2">
      <c r="A18" t="s">
        <v>38</v>
      </c>
      <c r="B18" s="11">
        <v>7.08751197</v>
      </c>
    </row>
    <row r="19" spans="1:2">
      <c r="A19" t="s">
        <v>39</v>
      </c>
      <c r="B19" s="11">
        <v>7.29191612</v>
      </c>
    </row>
    <row r="20" spans="1:2" ht="30" customHeight="1">
      <c r="A20" s="12" t="s">
        <v>30</v>
      </c>
    </row>
    <row r="21" spans="1:2">
      <c r="A21" t="s">
        <v>40</v>
      </c>
      <c r="B21" s="13">
        <v>2040.423508188082</v>
      </c>
    </row>
    <row r="22" spans="1:2">
      <c r="A22" t="s">
        <v>41</v>
      </c>
      <c r="B22" s="13">
        <v>7.353382298556016</v>
      </c>
    </row>
    <row r="24" spans="1:2">
      <c r="A24" s="9" t="s">
        <v>42</v>
      </c>
      <c r="B24" s="9" t="s">
        <v>43</v>
      </c>
    </row>
    <row r="25" spans="1:2">
      <c r="A25" t="s">
        <v>44</v>
      </c>
      <c r="B25" t="s">
        <v>45</v>
      </c>
    </row>
    <row r="27" spans="1:2" ht="34" customHeight="1">
      <c r="A27" s="12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3"/>
  <sheetViews>
    <sheetView workbookViewId="0"/>
  </sheetViews>
  <sheetFormatPr defaultRowHeight="15"/>
  <cols>
    <col min="1" max="1" width="46.7109375" customWidth="1"/>
    <col min="2" max="5" width="22.7109375" customWidth="1"/>
  </cols>
  <sheetData>
    <row r="1" spans="1:4">
      <c r="A1" s="12" t="s">
        <v>47</v>
      </c>
    </row>
    <row r="2" spans="1:4">
      <c r="A2" s="9" t="s">
        <v>48</v>
      </c>
      <c r="B2" s="9" t="s">
        <v>49</v>
      </c>
      <c r="C2" s="9" t="s">
        <v>50</v>
      </c>
      <c r="D2" s="9" t="s">
        <v>51</v>
      </c>
    </row>
    <row r="3" spans="1:4">
      <c r="A3" t="s">
        <v>16</v>
      </c>
      <c r="B3" s="10">
        <v>0.59985842</v>
      </c>
      <c r="C3" s="10">
        <v>0.66352901</v>
      </c>
      <c r="D3" s="10">
        <v>0.9485436</v>
      </c>
    </row>
    <row r="4" spans="1:4">
      <c r="A4" t="s">
        <v>52</v>
      </c>
      <c r="B4" s="13">
        <v>2019048.41028248</v>
      </c>
      <c r="C4" s="13">
        <v>1699075.79639621</v>
      </c>
      <c r="D4" s="13">
        <v>265066.16180507</v>
      </c>
    </row>
    <row r="5" spans="1:4">
      <c r="A5" t="s">
        <v>53</v>
      </c>
      <c r="B5" s="13">
        <v>175113.50965067</v>
      </c>
      <c r="C5" s="13">
        <v>222082.19768122</v>
      </c>
      <c r="D5" s="13">
        <v>672427.37257384</v>
      </c>
    </row>
    <row r="6" spans="1:4">
      <c r="A6" t="s">
        <v>54</v>
      </c>
      <c r="B6" s="11">
        <v>17.19944286</v>
      </c>
      <c r="C6" s="11">
        <v>15.00267672</v>
      </c>
      <c r="D6" s="11">
        <v>7.08751197</v>
      </c>
    </row>
    <row r="8" spans="1:4">
      <c r="A8" s="9" t="s">
        <v>55</v>
      </c>
      <c r="B8" s="9"/>
      <c r="C8" s="9"/>
    </row>
    <row r="9" spans="1:4">
      <c r="A9" t="s">
        <v>56</v>
      </c>
      <c r="B9" s="13">
        <v>1753982.24847741</v>
      </c>
    </row>
    <row r="10" spans="1:4">
      <c r="A10" t="s">
        <v>57</v>
      </c>
      <c r="B10" s="13">
        <v>1434009.63459114</v>
      </c>
    </row>
    <row r="12" spans="1:4">
      <c r="A12" s="9" t="s">
        <v>58</v>
      </c>
      <c r="B12" s="9"/>
      <c r="C12" s="9"/>
    </row>
    <row r="13" spans="1:4">
      <c r="A13" t="s">
        <v>56</v>
      </c>
      <c r="B13" s="13">
        <v>497313.86292317</v>
      </c>
    </row>
    <row r="14" spans="1:4">
      <c r="A14" t="s">
        <v>57</v>
      </c>
      <c r="B14" s="13">
        <v>450345.17489262</v>
      </c>
    </row>
    <row r="16" spans="1:4" ht="48" customHeight="1">
      <c r="A16" s="12" t="s">
        <v>59</v>
      </c>
    </row>
    <row r="18" spans="1:2">
      <c r="A18" s="9" t="s">
        <v>60</v>
      </c>
      <c r="B18" s="9"/>
    </row>
    <row r="19" spans="1:2">
      <c r="A19" t="s">
        <v>61</v>
      </c>
      <c r="B19" s="13">
        <v>1227787.573934187</v>
      </c>
    </row>
    <row r="20" spans="1:2">
      <c r="A20" t="s">
        <v>62</v>
      </c>
      <c r="B20" s="13">
        <v>1753982.24847741</v>
      </c>
    </row>
    <row r="21" spans="1:2">
      <c r="A21" t="s">
        <v>63</v>
      </c>
      <c r="B21" s="13">
        <v>2280176.923020633</v>
      </c>
    </row>
    <row r="23" spans="1:2" ht="60" customHeight="1">
      <c r="A23" s="12" t="s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3"/>
  <sheetViews>
    <sheetView workbookViewId="0"/>
  </sheetViews>
  <sheetFormatPr defaultRowHeight="15"/>
  <cols>
    <col min="1" max="1" width="46.7109375" customWidth="1"/>
    <col min="2" max="3" width="22.7109375" customWidth="1"/>
  </cols>
  <sheetData>
    <row r="1" spans="1:3">
      <c r="A1" s="12" t="s">
        <v>47</v>
      </c>
    </row>
    <row r="2" spans="1:3">
      <c r="A2" s="9" t="s">
        <v>48</v>
      </c>
      <c r="B2" s="9" t="s">
        <v>65</v>
      </c>
      <c r="C2" s="9" t="s">
        <v>66</v>
      </c>
    </row>
    <row r="3" spans="1:3">
      <c r="A3" t="s">
        <v>16</v>
      </c>
      <c r="B3" s="10">
        <v>0.9485436</v>
      </c>
      <c r="C3" s="10">
        <v>0.9483648</v>
      </c>
    </row>
    <row r="4" spans="1:3">
      <c r="A4" t="s">
        <v>52</v>
      </c>
      <c r="B4" s="13">
        <v>265066.16180507</v>
      </c>
      <c r="C4" s="13">
        <v>264998.26557518</v>
      </c>
    </row>
    <row r="5" spans="1:3">
      <c r="A5" t="s">
        <v>53</v>
      </c>
      <c r="B5" s="13">
        <v>672427.37257384</v>
      </c>
      <c r="C5" s="13">
        <v>653587.46218157</v>
      </c>
    </row>
    <row r="6" spans="1:3">
      <c r="A6" t="s">
        <v>54</v>
      </c>
      <c r="B6" s="11">
        <v>7.08751197</v>
      </c>
      <c r="C6" s="11">
        <v>7.29191612</v>
      </c>
    </row>
    <row r="7" spans="1:3">
      <c r="A7" t="s">
        <v>67</v>
      </c>
      <c r="B7" s="13">
        <v>4765837.05239493</v>
      </c>
      <c r="C7" s="13">
        <v>4765904.94862482</v>
      </c>
    </row>
    <row r="9" spans="1:3">
      <c r="A9" t="s">
        <v>68</v>
      </c>
      <c r="B9" s="13">
        <v>18839.91039226996</v>
      </c>
    </row>
    <row r="10" spans="1:3">
      <c r="A10" t="s">
        <v>69</v>
      </c>
      <c r="B10" s="10">
        <v>0.02801776245389405</v>
      </c>
    </row>
    <row r="11" spans="1:3">
      <c r="A11" t="s">
        <v>70</v>
      </c>
      <c r="B11" s="10">
        <v>0.02884004300313014</v>
      </c>
    </row>
    <row r="13" spans="1:3" ht="60" customHeight="1">
      <c r="A13" s="12" t="s">
        <v>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4"/>
  <sheetViews>
    <sheetView workbookViewId="0"/>
  </sheetViews>
  <sheetFormatPr defaultRowHeight="15"/>
  <cols>
    <col min="1" max="1" width="12.7109375" customWidth="1"/>
    <col min="2" max="2" width="20.7109375" customWidth="1"/>
    <col min="3" max="3" width="16.7109375" customWidth="1"/>
    <col min="4" max="6" width="12.7109375" customWidth="1"/>
    <col min="7" max="7" width="20.7109375" customWidth="1"/>
    <col min="8" max="8" width="16.7109375" customWidth="1"/>
    <col min="9" max="9" width="22.7109375" customWidth="1"/>
    <col min="10" max="10" width="20.7109375" customWidth="1"/>
  </cols>
  <sheetData>
    <row r="1" spans="1:10">
      <c r="A1" s="12" t="s">
        <v>47</v>
      </c>
    </row>
    <row r="2" spans="1:10">
      <c r="A2" s="9" t="s">
        <v>72</v>
      </c>
      <c r="B2" s="9" t="s">
        <v>73</v>
      </c>
      <c r="C2" s="9" t="s">
        <v>74</v>
      </c>
      <c r="D2" s="9" t="s">
        <v>75</v>
      </c>
      <c r="E2" s="9" t="s">
        <v>76</v>
      </c>
      <c r="F2" s="9" t="s">
        <v>77</v>
      </c>
      <c r="G2" s="9" t="s">
        <v>78</v>
      </c>
      <c r="H2" s="9" t="s">
        <v>79</v>
      </c>
      <c r="I2" s="9" t="s">
        <v>80</v>
      </c>
      <c r="J2" s="9" t="s">
        <v>81</v>
      </c>
    </row>
    <row r="3" spans="1:10">
      <c r="A3" t="s">
        <v>82</v>
      </c>
      <c r="B3" t="s">
        <v>83</v>
      </c>
      <c r="C3" t="s">
        <v>84</v>
      </c>
      <c r="D3" s="13">
        <v>10</v>
      </c>
      <c r="E3" s="13">
        <v>6.4</v>
      </c>
      <c r="F3" s="10">
        <v>0.36</v>
      </c>
      <c r="G3" s="13">
        <v>15098.26263012</v>
      </c>
      <c r="H3" s="13">
        <v>12092.53736988</v>
      </c>
      <c r="I3" s="10">
        <v>0.4447290028200715</v>
      </c>
      <c r="J3" s="10">
        <v>0.555271</v>
      </c>
    </row>
    <row r="4" spans="1:10">
      <c r="A4" t="s">
        <v>85</v>
      </c>
      <c r="B4" t="s">
        <v>86</v>
      </c>
      <c r="C4" t="s">
        <v>84</v>
      </c>
      <c r="D4" s="13">
        <v>10</v>
      </c>
      <c r="E4" s="13">
        <v>8.300000000000001</v>
      </c>
      <c r="F4" s="10">
        <v>0.17</v>
      </c>
      <c r="G4" s="13">
        <v>30264.4565287</v>
      </c>
      <c r="H4" s="13">
        <v>11552.1434713</v>
      </c>
      <c r="I4" s="10">
        <v>0.2762573588311819</v>
      </c>
      <c r="J4" s="10">
        <v>0.72374264</v>
      </c>
    </row>
    <row r="5" spans="1:10">
      <c r="A5" t="s">
        <v>87</v>
      </c>
      <c r="B5" t="s">
        <v>88</v>
      </c>
      <c r="C5" t="s">
        <v>84</v>
      </c>
      <c r="D5" s="13">
        <v>10</v>
      </c>
      <c r="E5" s="13">
        <v>7</v>
      </c>
      <c r="F5" s="10">
        <v>0.3</v>
      </c>
      <c r="G5" s="13">
        <v>289880.43128787</v>
      </c>
      <c r="H5" s="13">
        <v>9360.56871213</v>
      </c>
      <c r="I5" s="10">
        <v>0.03128103673002697</v>
      </c>
      <c r="J5" s="10">
        <v>0.96871896</v>
      </c>
    </row>
    <row r="6" spans="1:10">
      <c r="A6" t="s">
        <v>89</v>
      </c>
      <c r="B6" t="s">
        <v>90</v>
      </c>
      <c r="C6" t="s">
        <v>84</v>
      </c>
      <c r="D6" s="13">
        <v>10</v>
      </c>
      <c r="E6" s="13">
        <v>7</v>
      </c>
      <c r="F6" s="10">
        <v>0.3</v>
      </c>
      <c r="G6" s="13">
        <v>17557.71365225</v>
      </c>
      <c r="H6" s="13">
        <v>5974.28634775</v>
      </c>
      <c r="I6" s="10">
        <v>0.2538792430626381</v>
      </c>
      <c r="J6" s="10">
        <v>0.74612076</v>
      </c>
    </row>
    <row r="7" spans="1:10">
      <c r="A7" t="s">
        <v>91</v>
      </c>
      <c r="B7" t="s">
        <v>92</v>
      </c>
      <c r="C7" t="s">
        <v>84</v>
      </c>
      <c r="D7" s="13">
        <v>10</v>
      </c>
      <c r="E7" s="13">
        <v>8.199999999999999</v>
      </c>
      <c r="F7" s="10">
        <v>0.18</v>
      </c>
      <c r="G7" s="13">
        <v>13020.00516041</v>
      </c>
      <c r="H7" s="13">
        <v>5957.39483959</v>
      </c>
      <c r="I7" s="10">
        <v>0.3139204969906309</v>
      </c>
      <c r="J7" s="10">
        <v>0.6860795</v>
      </c>
    </row>
    <row r="8" spans="1:10">
      <c r="A8" t="s">
        <v>93</v>
      </c>
      <c r="B8" t="s">
        <v>88</v>
      </c>
      <c r="C8" t="s">
        <v>84</v>
      </c>
      <c r="D8" s="13">
        <v>10</v>
      </c>
      <c r="E8" s="13">
        <v>7</v>
      </c>
      <c r="F8" s="10">
        <v>0.3</v>
      </c>
      <c r="G8" s="13">
        <v>26346.56263092</v>
      </c>
      <c r="H8" s="13">
        <v>5483.43736908</v>
      </c>
      <c r="I8" s="10">
        <v>0.1722726160565504</v>
      </c>
      <c r="J8" s="10">
        <v>0.82772738</v>
      </c>
    </row>
    <row r="9" spans="1:10">
      <c r="A9" t="s">
        <v>94</v>
      </c>
      <c r="B9" t="s">
        <v>95</v>
      </c>
      <c r="C9" t="s">
        <v>84</v>
      </c>
      <c r="D9" s="13">
        <v>10</v>
      </c>
      <c r="E9" s="13">
        <v>7</v>
      </c>
      <c r="F9" s="10">
        <v>0.3</v>
      </c>
      <c r="G9" s="13">
        <v>6367.42272522</v>
      </c>
      <c r="H9" s="13">
        <v>5401.57727478</v>
      </c>
      <c r="I9" s="10">
        <v>0.458966545567168</v>
      </c>
      <c r="J9" s="10">
        <v>0.54103345</v>
      </c>
    </row>
    <row r="10" spans="1:10">
      <c r="A10" t="s">
        <v>96</v>
      </c>
      <c r="B10" t="s">
        <v>83</v>
      </c>
      <c r="C10" t="s">
        <v>84</v>
      </c>
      <c r="D10" s="13">
        <v>10</v>
      </c>
      <c r="E10" s="13">
        <v>6.4</v>
      </c>
      <c r="F10" s="10">
        <v>0.36</v>
      </c>
      <c r="G10" s="13">
        <v>18981.46685885</v>
      </c>
      <c r="H10" s="13">
        <v>5174.53314115</v>
      </c>
      <c r="I10" s="10">
        <v>0.2142131619949495</v>
      </c>
      <c r="J10" s="10">
        <v>0.78578684</v>
      </c>
    </row>
    <row r="11" spans="1:10">
      <c r="A11" t="s">
        <v>97</v>
      </c>
      <c r="B11" t="s">
        <v>90</v>
      </c>
      <c r="C11" t="s">
        <v>84</v>
      </c>
      <c r="D11" s="13">
        <v>10</v>
      </c>
      <c r="E11" s="13">
        <v>7</v>
      </c>
      <c r="F11" s="10">
        <v>0.3</v>
      </c>
      <c r="G11" s="13">
        <v>12481.1744233</v>
      </c>
      <c r="H11" s="13">
        <v>4450.8255767</v>
      </c>
      <c r="I11" s="10">
        <v>0.2628647281301678</v>
      </c>
      <c r="J11" s="10">
        <v>0.73713527</v>
      </c>
    </row>
    <row r="12" spans="1:10">
      <c r="A12" t="s">
        <v>98</v>
      </c>
      <c r="B12" t="s">
        <v>86</v>
      </c>
      <c r="C12" t="s">
        <v>84</v>
      </c>
      <c r="D12" s="13">
        <v>10</v>
      </c>
      <c r="E12" s="13">
        <v>8.300000000000001</v>
      </c>
      <c r="F12" s="10">
        <v>0.17</v>
      </c>
      <c r="G12" s="13">
        <v>10240.36112165</v>
      </c>
      <c r="H12" s="13">
        <v>4258.93887835</v>
      </c>
      <c r="I12" s="10">
        <v>0.2937341029118647</v>
      </c>
      <c r="J12" s="10">
        <v>0.7062659</v>
      </c>
    </row>
    <row r="13" spans="1:10">
      <c r="A13" t="s">
        <v>99</v>
      </c>
      <c r="B13" t="s">
        <v>95</v>
      </c>
      <c r="C13" t="s">
        <v>84</v>
      </c>
      <c r="D13" s="13">
        <v>10</v>
      </c>
      <c r="E13" s="13">
        <v>7</v>
      </c>
      <c r="F13" s="10">
        <v>0.3</v>
      </c>
      <c r="G13" s="13">
        <v>11396.82583217</v>
      </c>
      <c r="H13" s="13">
        <v>4221.17416783</v>
      </c>
      <c r="I13" s="10">
        <v>0.2702762304923806</v>
      </c>
      <c r="J13" s="10">
        <v>0.72972377</v>
      </c>
    </row>
    <row r="14" spans="1:10">
      <c r="A14" t="s">
        <v>100</v>
      </c>
      <c r="B14" t="s">
        <v>101</v>
      </c>
      <c r="C14" t="s">
        <v>84</v>
      </c>
      <c r="D14" s="13">
        <v>10</v>
      </c>
      <c r="E14" s="13">
        <v>7.4</v>
      </c>
      <c r="F14" s="10">
        <v>0.26</v>
      </c>
      <c r="G14" s="13">
        <v>55699.04359735</v>
      </c>
      <c r="H14" s="13">
        <v>4137.35640265</v>
      </c>
      <c r="I14" s="10">
        <v>0.06914447397654271</v>
      </c>
      <c r="J14" s="10">
        <v>0.93085553</v>
      </c>
    </row>
    <row r="15" spans="1:10">
      <c r="A15" t="s">
        <v>102</v>
      </c>
      <c r="B15" t="s">
        <v>88</v>
      </c>
      <c r="C15" t="s">
        <v>84</v>
      </c>
      <c r="D15" s="13">
        <v>10</v>
      </c>
      <c r="E15" s="13">
        <v>7</v>
      </c>
      <c r="F15" s="10">
        <v>0.3</v>
      </c>
      <c r="G15" s="13">
        <v>35171.36793225</v>
      </c>
      <c r="H15" s="13">
        <v>3708.63206775</v>
      </c>
      <c r="I15" s="10">
        <v>0.09538662725694444</v>
      </c>
      <c r="J15" s="10">
        <v>0.90461337</v>
      </c>
    </row>
    <row r="16" spans="1:10">
      <c r="A16" t="s">
        <v>103</v>
      </c>
      <c r="B16" t="s">
        <v>104</v>
      </c>
      <c r="C16" t="s">
        <v>105</v>
      </c>
      <c r="D16" s="13">
        <v>10</v>
      </c>
      <c r="E16" s="13">
        <v>8</v>
      </c>
      <c r="F16" s="10">
        <v>0.2</v>
      </c>
      <c r="G16" s="13">
        <v>60198.80279456</v>
      </c>
      <c r="H16" s="13">
        <v>3634.77320544</v>
      </c>
      <c r="I16" s="10">
        <v>0.05694140032888022</v>
      </c>
      <c r="J16" s="10">
        <v>0.9430586</v>
      </c>
    </row>
    <row r="17" spans="1:10">
      <c r="A17" t="s">
        <v>106</v>
      </c>
      <c r="B17" t="s">
        <v>107</v>
      </c>
      <c r="C17" t="s">
        <v>84</v>
      </c>
      <c r="D17" s="13">
        <v>10</v>
      </c>
      <c r="E17" s="13">
        <v>6.8</v>
      </c>
      <c r="F17" s="10">
        <v>0.32</v>
      </c>
      <c r="G17" s="13">
        <v>20325.02130884</v>
      </c>
      <c r="H17" s="13">
        <v>3562.97869116</v>
      </c>
      <c r="I17" s="10">
        <v>0.1491534951088413</v>
      </c>
      <c r="J17" s="10">
        <v>0.8508465</v>
      </c>
    </row>
    <row r="18" spans="1:10">
      <c r="A18" t="s">
        <v>108</v>
      </c>
      <c r="B18" t="s">
        <v>95</v>
      </c>
      <c r="C18" t="s">
        <v>84</v>
      </c>
      <c r="D18" s="13">
        <v>10</v>
      </c>
      <c r="E18" s="13">
        <v>7</v>
      </c>
      <c r="F18" s="10">
        <v>0.3</v>
      </c>
      <c r="G18" s="13">
        <v>22390.55209233</v>
      </c>
      <c r="H18" s="13">
        <v>3532.44790767</v>
      </c>
      <c r="I18" s="10">
        <v>0.136266940850596</v>
      </c>
      <c r="J18" s="10">
        <v>0.8637330600000001</v>
      </c>
    </row>
    <row r="19" spans="1:10">
      <c r="A19" t="s">
        <v>109</v>
      </c>
      <c r="B19" t="s">
        <v>95</v>
      </c>
      <c r="C19" t="s">
        <v>84</v>
      </c>
      <c r="D19" s="13">
        <v>10</v>
      </c>
      <c r="E19" s="13">
        <v>7</v>
      </c>
      <c r="F19" s="10">
        <v>0.3</v>
      </c>
      <c r="G19" s="13">
        <v>11247.65180345</v>
      </c>
      <c r="H19" s="13">
        <v>3368.34819655</v>
      </c>
      <c r="I19" s="10">
        <v>0.2304562258175971</v>
      </c>
      <c r="J19" s="10">
        <v>0.76954377</v>
      </c>
    </row>
    <row r="20" spans="1:10">
      <c r="A20" t="s">
        <v>110</v>
      </c>
      <c r="B20" t="s">
        <v>107</v>
      </c>
      <c r="C20" t="s">
        <v>84</v>
      </c>
      <c r="D20" s="13">
        <v>10</v>
      </c>
      <c r="E20" s="13">
        <v>6.8</v>
      </c>
      <c r="F20" s="10">
        <v>0.32</v>
      </c>
      <c r="G20" s="13">
        <v>26662.70933894</v>
      </c>
      <c r="H20" s="13">
        <v>3292.49066106</v>
      </c>
      <c r="I20" s="10">
        <v>0.1099138266831802</v>
      </c>
      <c r="J20" s="10">
        <v>0.89008617</v>
      </c>
    </row>
    <row r="21" spans="1:10">
      <c r="A21" t="s">
        <v>111</v>
      </c>
      <c r="B21" t="s">
        <v>92</v>
      </c>
      <c r="C21" t="s">
        <v>84</v>
      </c>
      <c r="D21" s="13">
        <v>10</v>
      </c>
      <c r="E21" s="13">
        <v>8.199999999999999</v>
      </c>
      <c r="F21" s="10">
        <v>0.18</v>
      </c>
      <c r="G21" s="13">
        <v>5603.16526851</v>
      </c>
      <c r="H21" s="13">
        <v>3060.23473149</v>
      </c>
      <c r="I21" s="10">
        <v>0.3532371507133458</v>
      </c>
      <c r="J21" s="10">
        <v>0.64676285</v>
      </c>
    </row>
    <row r="22" spans="1:10">
      <c r="A22" t="s">
        <v>112</v>
      </c>
      <c r="B22" t="s">
        <v>113</v>
      </c>
      <c r="C22" t="s">
        <v>105</v>
      </c>
      <c r="D22" s="13">
        <v>10</v>
      </c>
      <c r="E22" s="13">
        <v>8.6</v>
      </c>
      <c r="F22" s="10">
        <v>0.14</v>
      </c>
      <c r="G22" s="13">
        <v>19776.61545352</v>
      </c>
      <c r="H22" s="13">
        <v>2954.44954648</v>
      </c>
      <c r="I22" s="10">
        <v>0.1299740925680341</v>
      </c>
      <c r="J22" s="10">
        <v>0.87002591</v>
      </c>
    </row>
    <row r="24" spans="1:10" ht="48" customHeight="1">
      <c r="A24" s="12" t="s">
        <v>114</v>
      </c>
    </row>
  </sheetData>
  <autoFilter ref="A2:J2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cols>
    <col min="1" max="1" width="110.7109375" customWidth="1"/>
  </cols>
  <sheetData>
    <row r="1" spans="1:1">
      <c r="A1" s="8" t="s">
        <v>115</v>
      </c>
    </row>
    <row r="2" spans="1:1" ht="48" customHeight="1">
      <c r="A2" s="12" t="s">
        <v>116</v>
      </c>
    </row>
    <row r="3" spans="1:1" ht="48" customHeight="1">
      <c r="A3" s="12" t="s">
        <v>117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27"/>
  <sheetViews>
    <sheetView workbookViewId="0"/>
  </sheetViews>
  <sheetFormatPr defaultRowHeight="15"/>
  <cols>
    <col min="1" max="1" width="40.7109375" customWidth="1"/>
    <col min="2" max="2" width="20.7109375" customWidth="1"/>
    <col min="3" max="3" width="70.7109375" customWidth="1"/>
  </cols>
  <sheetData>
    <row r="1" spans="1:3">
      <c r="A1" s="9" t="s">
        <v>118</v>
      </c>
      <c r="B1" s="9" t="s">
        <v>119</v>
      </c>
      <c r="C1" s="9" t="s">
        <v>120</v>
      </c>
    </row>
    <row r="2" spans="1:3" ht="34" customHeight="1">
      <c r="A2" t="s">
        <v>121</v>
      </c>
      <c r="B2" t="s">
        <v>122</v>
      </c>
      <c r="C2" s="12" t="s">
        <v>123</v>
      </c>
    </row>
    <row r="3" spans="1:3" ht="34" customHeight="1">
      <c r="A3" t="s">
        <v>124</v>
      </c>
      <c r="B3" t="s">
        <v>125</v>
      </c>
      <c r="C3" s="12" t="s">
        <v>123</v>
      </c>
    </row>
    <row r="4" spans="1:3" ht="34" customHeight="1">
      <c r="A4" t="s">
        <v>126</v>
      </c>
      <c r="B4" s="11">
        <v>0.15</v>
      </c>
      <c r="C4" s="12" t="s">
        <v>127</v>
      </c>
    </row>
    <row r="5" spans="1:3" ht="34" customHeight="1">
      <c r="A5" t="s">
        <v>128</v>
      </c>
      <c r="B5" s="11">
        <v>10</v>
      </c>
      <c r="C5" s="12" t="s">
        <v>129</v>
      </c>
    </row>
    <row r="6" spans="1:3" ht="34" customHeight="1">
      <c r="A6" t="s">
        <v>130</v>
      </c>
      <c r="B6" t="s">
        <v>131</v>
      </c>
      <c r="C6" s="12" t="s">
        <v>132</v>
      </c>
    </row>
    <row r="7" spans="1:3" ht="34" customHeight="1">
      <c r="A7" t="s">
        <v>133</v>
      </c>
      <c r="B7" t="s">
        <v>134</v>
      </c>
      <c r="C7" s="12" t="s">
        <v>135</v>
      </c>
    </row>
    <row r="8" spans="1:3" ht="34" customHeight="1">
      <c r="A8" t="s">
        <v>136</v>
      </c>
      <c r="B8" t="s">
        <v>137</v>
      </c>
      <c r="C8" s="12" t="s">
        <v>138</v>
      </c>
    </row>
    <row r="9" spans="1:3" ht="34" customHeight="1">
      <c r="A9" t="s">
        <v>139</v>
      </c>
      <c r="B9" t="s">
        <v>140</v>
      </c>
      <c r="C9" s="12" t="s">
        <v>141</v>
      </c>
    </row>
    <row r="11" spans="1:3">
      <c r="A11" s="9" t="s">
        <v>142</v>
      </c>
      <c r="B11" s="9"/>
      <c r="C11" s="9"/>
    </row>
    <row r="12" spans="1:3">
      <c r="A12" t="s">
        <v>143</v>
      </c>
      <c r="B12" s="10">
        <v>0.3</v>
      </c>
    </row>
    <row r="13" spans="1:3">
      <c r="A13" t="s">
        <v>144</v>
      </c>
      <c r="B13" s="10">
        <v>0.32</v>
      </c>
    </row>
    <row r="14" spans="1:3">
      <c r="A14" t="s">
        <v>145</v>
      </c>
      <c r="B14" s="10">
        <v>0.3</v>
      </c>
    </row>
    <row r="15" spans="1:3">
      <c r="A15" t="s">
        <v>146</v>
      </c>
      <c r="B15" s="10">
        <v>0.17</v>
      </c>
    </row>
    <row r="16" spans="1:3">
      <c r="A16" t="s">
        <v>147</v>
      </c>
      <c r="B16" s="10">
        <v>0.22</v>
      </c>
    </row>
    <row r="17" spans="1:3">
      <c r="A17" t="s">
        <v>148</v>
      </c>
      <c r="B17" s="10">
        <v>0.17</v>
      </c>
    </row>
    <row r="18" spans="1:3">
      <c r="A18" t="s">
        <v>149</v>
      </c>
      <c r="B18" s="10">
        <v>0.26</v>
      </c>
    </row>
    <row r="19" spans="1:3">
      <c r="A19" t="s">
        <v>150</v>
      </c>
      <c r="B19" s="10">
        <v>0.18</v>
      </c>
    </row>
    <row r="20" spans="1:3">
      <c r="A20" t="s">
        <v>151</v>
      </c>
      <c r="B20" s="10">
        <v>0.18</v>
      </c>
    </row>
    <row r="21" spans="1:3">
      <c r="A21" t="s">
        <v>152</v>
      </c>
      <c r="B21" s="10">
        <v>0.3</v>
      </c>
    </row>
    <row r="22" spans="1:3">
      <c r="A22" t="s">
        <v>153</v>
      </c>
      <c r="B22" s="10">
        <v>0.14</v>
      </c>
    </row>
    <row r="23" spans="1:3">
      <c r="A23" t="s">
        <v>154</v>
      </c>
      <c r="B23" s="10">
        <v>0.36</v>
      </c>
    </row>
    <row r="24" spans="1:3">
      <c r="A24" t="s">
        <v>155</v>
      </c>
      <c r="B24" s="10">
        <v>0.14</v>
      </c>
    </row>
    <row r="25" spans="1:3">
      <c r="A25" t="s">
        <v>156</v>
      </c>
      <c r="B25" s="10">
        <v>0.2</v>
      </c>
    </row>
    <row r="26" spans="1:3">
      <c r="A26" t="s">
        <v>157</v>
      </c>
      <c r="B26" s="10">
        <v>0.14</v>
      </c>
    </row>
    <row r="27" spans="1:3">
      <c r="A27" t="s">
        <v>158</v>
      </c>
      <c r="B27" s="10">
        <v>0.25</v>
      </c>
      <c r="C27" s="12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9"/>
  <sheetViews>
    <sheetView workbookViewId="0"/>
  </sheetViews>
  <sheetFormatPr defaultRowHeight="15"/>
  <cols>
    <col min="1" max="1" width="110.7109375" customWidth="1"/>
  </cols>
  <sheetData>
    <row r="1" spans="1:1">
      <c r="A1" s="8" t="s">
        <v>160</v>
      </c>
    </row>
    <row r="2" spans="1:1" ht="60" customHeight="1">
      <c r="A2" s="12" t="s">
        <v>161</v>
      </c>
    </row>
    <row r="3" spans="1:1" ht="60" customHeight="1">
      <c r="A3" s="12" t="s">
        <v>162</v>
      </c>
    </row>
    <row r="4" spans="1:1" ht="60" customHeight="1">
      <c r="A4" s="12" t="s">
        <v>163</v>
      </c>
    </row>
    <row r="5" spans="1:1" ht="60" customHeight="1">
      <c r="A5" s="12" t="s">
        <v>164</v>
      </c>
    </row>
    <row r="6" spans="1:1" ht="60" customHeight="1">
      <c r="A6" s="12" t="s">
        <v>165</v>
      </c>
    </row>
    <row r="7" spans="1:1" ht="60" customHeight="1">
      <c r="A7" s="12" t="s">
        <v>166</v>
      </c>
    </row>
    <row r="8" spans="1:1" ht="60" customHeight="1">
      <c r="A8" s="12" t="s">
        <v>167</v>
      </c>
    </row>
    <row r="9" spans="1:1" ht="60" customHeight="1">
      <c r="A9" s="12" t="s">
        <v>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Resumo visual</vt:lpstr>
      <vt:lpstr>Resumo executivo</vt:lpstr>
      <vt:lpstr>Andar 1 - Correção de cadastro</vt:lpstr>
      <vt:lpstr>Andar 2 - Refinamento do modelo</vt:lpstr>
      <vt:lpstr>Itens sangrando margem</vt:lpstr>
      <vt:lpstr>Taxa de aceitação</vt:lpstr>
      <vt:lpstr>Premissas</vt:lpstr>
      <vt:lpstr>Limitações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2026-10-05T19:47:59Z</dcterms:created>
  <dcterms:modified xsi:type="dcterms:W3CDTF">2026-10-05T19:47:59Z</dcterms:modified>
</cp:coreProperties>
</file>